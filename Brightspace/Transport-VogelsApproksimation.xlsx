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MyTeaching\Datavidenskab\MLOPT2026\Forelæsninger\Kap05\"/>
    </mc:Choice>
  </mc:AlternateContent>
  <xr:revisionPtr revIDLastSave="0" documentId="13_ncr:1_{5E6B20B0-B735-4995-86D4-A63DAC5037F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F58" i="1"/>
  <c r="I57" i="1"/>
  <c r="I55" i="1"/>
  <c r="G47" i="1"/>
  <c r="F47" i="1"/>
  <c r="D47" i="1"/>
  <c r="I46" i="1"/>
  <c r="I44" i="1"/>
  <c r="G36" i="1"/>
  <c r="F36" i="1"/>
  <c r="E36" i="1"/>
  <c r="D36" i="1"/>
  <c r="I35" i="1"/>
  <c r="I33" i="1"/>
  <c r="G25" i="1"/>
  <c r="F25" i="1"/>
  <c r="E25" i="1"/>
  <c r="D25" i="1"/>
  <c r="I24" i="1"/>
  <c r="I23" i="1"/>
  <c r="I22" i="1"/>
  <c r="I12" i="1"/>
  <c r="I13" i="1"/>
  <c r="I11" i="1"/>
  <c r="H14" i="1"/>
  <c r="E14" i="1"/>
  <c r="F14" i="1"/>
  <c r="G14" i="1"/>
  <c r="D14" i="1"/>
</calcChain>
</file>

<file path=xl/sharedStrings.xml><?xml version="1.0" encoding="utf-8"?>
<sst xmlns="http://schemas.openxmlformats.org/spreadsheetml/2006/main" count="138" uniqueCount="31">
  <si>
    <t>Eksempel 5.2: Transportproblemet</t>
  </si>
  <si>
    <t>Enhedsomkostninger</t>
  </si>
  <si>
    <t>S1</t>
  </si>
  <si>
    <t>S2</t>
  </si>
  <si>
    <t>S3</t>
  </si>
  <si>
    <t>T1</t>
  </si>
  <si>
    <t>T2</t>
  </si>
  <si>
    <t>T3</t>
  </si>
  <si>
    <t>T4</t>
  </si>
  <si>
    <t>Udbud</t>
  </si>
  <si>
    <t>Eft.sp.</t>
  </si>
  <si>
    <t>Delta</t>
  </si>
  <si>
    <t>Vogel's approksimation</t>
  </si>
  <si>
    <t>Dummy</t>
  </si>
  <si>
    <t>Problemet er balanceret efter tilføjelse af en dummy-kunde</t>
  </si>
  <si>
    <t>Send 9 enheder fra S1 til Dummy</t>
  </si>
  <si>
    <t>Flows</t>
  </si>
  <si>
    <t>Send 56 enheder fra S2 til T1</t>
  </si>
  <si>
    <r>
      <rPr>
        <b/>
        <sz val="11"/>
        <color theme="1"/>
        <rFont val="Calibri"/>
        <family val="2"/>
        <scheme val="minor"/>
      </rPr>
      <t>Iteration 1)</t>
    </r>
    <r>
      <rPr>
        <sz val="11"/>
        <color theme="1"/>
        <rFont val="Calibri"/>
        <family val="2"/>
        <scheme val="minor"/>
      </rPr>
      <t xml:space="preserve"> Største delta-værdi findes i række 1, så billigste kombination i række 1 vælges</t>
    </r>
  </si>
  <si>
    <r>
      <rPr>
        <b/>
        <sz val="11"/>
        <color theme="1"/>
        <rFont val="Calibri"/>
        <family val="2"/>
        <scheme val="minor"/>
      </rPr>
      <t>Iteration 2)</t>
    </r>
    <r>
      <rPr>
        <sz val="11"/>
        <color theme="1"/>
        <rFont val="Calibri"/>
        <family val="2"/>
        <scheme val="minor"/>
      </rPr>
      <t xml:space="preserve"> Største delta-værdi findes i kolonne 1, så billigste kombination i kolonne 1 vælges</t>
    </r>
  </si>
  <si>
    <r>
      <rPr>
        <b/>
        <sz val="11"/>
        <color theme="1"/>
        <rFont val="Calibri"/>
        <family val="2"/>
        <scheme val="minor"/>
      </rPr>
      <t>Iteration 3)</t>
    </r>
    <r>
      <rPr>
        <sz val="11"/>
        <color theme="1"/>
        <rFont val="Calibri"/>
        <family val="2"/>
        <scheme val="minor"/>
      </rPr>
      <t xml:space="preserve"> Største delta-værdi findes i kolonne 1, så billigste kombination i kolonne 1 vælges</t>
    </r>
  </si>
  <si>
    <r>
      <rPr>
        <b/>
        <sz val="11"/>
        <color theme="1"/>
        <rFont val="Calibri"/>
        <family val="2"/>
        <scheme val="minor"/>
      </rPr>
      <t>Iteration 3)</t>
    </r>
    <r>
      <rPr>
        <sz val="11"/>
        <color theme="1"/>
        <rFont val="Calibri"/>
        <family val="2"/>
        <scheme val="minor"/>
      </rPr>
      <t xml:space="preserve"> Største delta-værdi findes i kolonne 2, så billigste kombination i kolonne 2 vælges</t>
    </r>
  </si>
  <si>
    <t>Send 83 enheder fra S3 til T2</t>
  </si>
  <si>
    <t>Send 6 enheder fra S3 til T1</t>
  </si>
  <si>
    <r>
      <rPr>
        <b/>
        <sz val="11"/>
        <color theme="1"/>
        <rFont val="Calibri"/>
        <family val="2"/>
        <scheme val="minor"/>
      </rPr>
      <t>Iteration 4)</t>
    </r>
    <r>
      <rPr>
        <sz val="11"/>
        <color theme="1"/>
        <rFont val="Calibri"/>
        <family val="2"/>
        <scheme val="minor"/>
      </rPr>
      <t xml:space="preserve"> Største delta-værdi findes i række 1, så billigste kombination i række 1 vælges</t>
    </r>
  </si>
  <si>
    <t>Send 39 enheder fra S1 til T3</t>
  </si>
  <si>
    <r>
      <rPr>
        <b/>
        <sz val="11"/>
        <color theme="1"/>
        <rFont val="Calibri"/>
        <family val="2"/>
        <scheme val="minor"/>
      </rPr>
      <t>Iteration 5)</t>
    </r>
    <r>
      <rPr>
        <sz val="11"/>
        <color theme="1"/>
        <rFont val="Calibri"/>
        <family val="2"/>
        <scheme val="minor"/>
      </rPr>
      <t xml:space="preserve"> De resterende mængder er givne</t>
    </r>
  </si>
  <si>
    <t>Generelt er der dog ikke sikkerhed for, at denne metode resulterer i en optimal løsning.</t>
  </si>
  <si>
    <r>
      <t xml:space="preserve">Metoden er dermed </t>
    </r>
    <r>
      <rPr>
        <i/>
        <sz val="11"/>
        <color theme="1"/>
        <rFont val="Calibri"/>
        <family val="2"/>
        <scheme val="minor"/>
      </rPr>
      <t>heuristisk</t>
    </r>
    <r>
      <rPr>
        <sz val="11"/>
        <color theme="1"/>
        <rFont val="Calibri"/>
        <family val="2"/>
        <scheme val="minor"/>
      </rPr>
      <t xml:space="preserve"> og kaldes en </t>
    </r>
    <r>
      <rPr>
        <i/>
        <sz val="11"/>
        <color theme="1"/>
        <rFont val="Calibri"/>
        <family val="2"/>
        <scheme val="minor"/>
      </rPr>
      <t>heuristik</t>
    </r>
    <r>
      <rPr>
        <sz val="11"/>
        <color theme="1"/>
        <rFont val="Calibri"/>
        <family val="2"/>
        <scheme val="minor"/>
      </rPr>
      <t>.</t>
    </r>
  </si>
  <si>
    <t>Flows i den endelige løsning</t>
  </si>
  <si>
    <t>Den endelige løsning er i dette tilfælde optimal.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</si>
</sst>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5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52" zoomScale="120" zoomScaleNormal="120" workbookViewId="0">
      <selection activeCell="A80" sqref="A80"/>
    </sheetView>
  </sheetViews>
  <sheetFormatPr defaultRowHeight="15" x14ac:dyDescent="0.25"/>
  <sheetData>
    <row r="1" spans="1:16" x14ac:dyDescent="0.25">
      <c r="A1" s="1" t="s">
        <v>0</v>
      </c>
    </row>
    <row r="2" spans="1:16" x14ac:dyDescent="0.25">
      <c r="A2" s="1" t="s">
        <v>12</v>
      </c>
    </row>
    <row r="6" spans="1:16" x14ac:dyDescent="0.25">
      <c r="B6" s="1" t="s">
        <v>1</v>
      </c>
    </row>
    <row r="7" spans="1:16" x14ac:dyDescent="0.25">
      <c r="B7" s="1" t="s">
        <v>14</v>
      </c>
    </row>
    <row r="9" spans="1:16" x14ac:dyDescent="0.25">
      <c r="C9" s="2" t="s">
        <v>10</v>
      </c>
      <c r="D9">
        <v>62</v>
      </c>
      <c r="E9">
        <v>83</v>
      </c>
      <c r="F9">
        <v>39</v>
      </c>
      <c r="G9">
        <v>91</v>
      </c>
      <c r="H9">
        <v>9</v>
      </c>
      <c r="K9" s="1" t="s">
        <v>16</v>
      </c>
    </row>
    <row r="10" spans="1:16" x14ac:dyDescent="0.25">
      <c r="B10" s="2" t="s">
        <v>9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13</v>
      </c>
      <c r="I10" s="2" t="s">
        <v>11</v>
      </c>
      <c r="L10" s="3" t="s">
        <v>5</v>
      </c>
      <c r="M10" s="3" t="s">
        <v>6</v>
      </c>
      <c r="N10" s="3" t="s">
        <v>7</v>
      </c>
      <c r="O10" s="3" t="s">
        <v>8</v>
      </c>
      <c r="P10" s="3" t="s">
        <v>13</v>
      </c>
    </row>
    <row r="11" spans="1:16" x14ac:dyDescent="0.25">
      <c r="B11">
        <v>135</v>
      </c>
      <c r="C11" s="1" t="s">
        <v>2</v>
      </c>
      <c r="D11" s="4">
        <v>132</v>
      </c>
      <c r="E11" s="5">
        <v>999</v>
      </c>
      <c r="F11" s="5">
        <v>97</v>
      </c>
      <c r="G11" s="5">
        <v>103</v>
      </c>
      <c r="H11" s="9">
        <v>0</v>
      </c>
      <c r="I11">
        <f>SMALL(D11:H11,2)-MIN(D11:H11)</f>
        <v>97</v>
      </c>
      <c r="K11" s="1" t="s">
        <v>2</v>
      </c>
      <c r="L11" s="4"/>
      <c r="M11" s="5"/>
      <c r="N11" s="5"/>
      <c r="O11" s="5"/>
      <c r="P11" s="9">
        <v>9</v>
      </c>
    </row>
    <row r="12" spans="1:16" x14ac:dyDescent="0.25">
      <c r="B12">
        <v>56</v>
      </c>
      <c r="C12" s="1" t="s">
        <v>3</v>
      </c>
      <c r="D12" s="6">
        <v>85</v>
      </c>
      <c r="E12">
        <v>91</v>
      </c>
      <c r="F12">
        <v>999</v>
      </c>
      <c r="G12">
        <v>999</v>
      </c>
      <c r="H12" s="10">
        <v>0</v>
      </c>
      <c r="I12">
        <f t="shared" ref="I12:I13" si="0">SMALL(D12:H12,2)-MIN(D12:H12)</f>
        <v>85</v>
      </c>
      <c r="K12" s="1" t="s">
        <v>3</v>
      </c>
      <c r="L12" s="6"/>
      <c r="P12" s="10"/>
    </row>
    <row r="13" spans="1:16" x14ac:dyDescent="0.25">
      <c r="B13">
        <v>93</v>
      </c>
      <c r="C13" s="1" t="s">
        <v>4</v>
      </c>
      <c r="D13" s="7">
        <v>106</v>
      </c>
      <c r="E13" s="8">
        <v>89</v>
      </c>
      <c r="F13" s="8">
        <v>100</v>
      </c>
      <c r="G13" s="8">
        <v>98</v>
      </c>
      <c r="H13" s="11">
        <v>0</v>
      </c>
      <c r="I13">
        <f t="shared" si="0"/>
        <v>89</v>
      </c>
      <c r="K13" s="1" t="s">
        <v>4</v>
      </c>
      <c r="L13" s="7"/>
      <c r="M13" s="8"/>
      <c r="N13" s="8"/>
      <c r="O13" s="8"/>
      <c r="P13" s="11"/>
    </row>
    <row r="14" spans="1:16" x14ac:dyDescent="0.25">
      <c r="C14" t="s">
        <v>11</v>
      </c>
      <c r="D14">
        <f>SMALL(D11:D13,2)-MIN(D11:D13)</f>
        <v>21</v>
      </c>
      <c r="E14">
        <f t="shared" ref="E14:H14" si="1">SMALL(E11:E13,2)-MIN(E11:E13)</f>
        <v>2</v>
      </c>
      <c r="F14">
        <f t="shared" si="1"/>
        <v>3</v>
      </c>
      <c r="G14">
        <f t="shared" si="1"/>
        <v>5</v>
      </c>
      <c r="H14">
        <f t="shared" si="1"/>
        <v>0</v>
      </c>
    </row>
    <row r="16" spans="1:16" x14ac:dyDescent="0.25">
      <c r="A16" t="s">
        <v>18</v>
      </c>
    </row>
    <row r="17" spans="1:16" x14ac:dyDescent="0.25">
      <c r="B17" t="s">
        <v>15</v>
      </c>
    </row>
    <row r="20" spans="1:16" x14ac:dyDescent="0.25">
      <c r="C20" s="2" t="s">
        <v>10</v>
      </c>
      <c r="D20">
        <v>62</v>
      </c>
      <c r="E20">
        <v>83</v>
      </c>
      <c r="F20">
        <v>39</v>
      </c>
      <c r="G20">
        <v>91</v>
      </c>
      <c r="K20" s="1" t="s">
        <v>16</v>
      </c>
    </row>
    <row r="21" spans="1:16" x14ac:dyDescent="0.25">
      <c r="B21" s="2" t="s">
        <v>9</v>
      </c>
      <c r="D21" s="3" t="s">
        <v>5</v>
      </c>
      <c r="E21" s="3" t="s">
        <v>6</v>
      </c>
      <c r="F21" s="3" t="s">
        <v>7</v>
      </c>
      <c r="G21" s="3" t="s">
        <v>8</v>
      </c>
      <c r="H21" s="3"/>
      <c r="I21" s="2" t="s">
        <v>11</v>
      </c>
      <c r="L21" s="3" t="s">
        <v>5</v>
      </c>
      <c r="M21" s="3" t="s">
        <v>6</v>
      </c>
      <c r="N21" s="3" t="s">
        <v>7</v>
      </c>
      <c r="O21" s="3" t="s">
        <v>8</v>
      </c>
      <c r="P21" s="3" t="s">
        <v>13</v>
      </c>
    </row>
    <row r="22" spans="1:16" x14ac:dyDescent="0.25">
      <c r="B22">
        <v>126</v>
      </c>
      <c r="C22" s="1" t="s">
        <v>2</v>
      </c>
      <c r="D22" s="4">
        <v>132</v>
      </c>
      <c r="E22" s="5">
        <v>999</v>
      </c>
      <c r="F22" s="5">
        <v>97</v>
      </c>
      <c r="G22" s="5">
        <v>103</v>
      </c>
      <c r="H22" s="9"/>
      <c r="I22">
        <f>SMALL(D22:H22,2)-MIN(D22:H22)</f>
        <v>6</v>
      </c>
      <c r="K22" s="1" t="s">
        <v>2</v>
      </c>
      <c r="L22" s="4"/>
      <c r="M22" s="5"/>
      <c r="N22" s="5"/>
      <c r="O22" s="5"/>
      <c r="P22" s="9">
        <v>9</v>
      </c>
    </row>
    <row r="23" spans="1:16" x14ac:dyDescent="0.25">
      <c r="B23">
        <v>56</v>
      </c>
      <c r="C23" s="1" t="s">
        <v>3</v>
      </c>
      <c r="D23" s="6">
        <v>85</v>
      </c>
      <c r="E23">
        <v>91</v>
      </c>
      <c r="F23">
        <v>999</v>
      </c>
      <c r="G23">
        <v>999</v>
      </c>
      <c r="H23" s="10"/>
      <c r="I23">
        <f t="shared" ref="I23:I24" si="2">SMALL(D23:H23,2)-MIN(D23:H23)</f>
        <v>6</v>
      </c>
      <c r="K23" s="1" t="s">
        <v>3</v>
      </c>
      <c r="L23" s="6">
        <v>56</v>
      </c>
      <c r="P23" s="10"/>
    </row>
    <row r="24" spans="1:16" x14ac:dyDescent="0.25">
      <c r="B24">
        <v>93</v>
      </c>
      <c r="C24" s="1" t="s">
        <v>4</v>
      </c>
      <c r="D24" s="7">
        <v>106</v>
      </c>
      <c r="E24" s="8">
        <v>89</v>
      </c>
      <c r="F24" s="8">
        <v>100</v>
      </c>
      <c r="G24" s="8">
        <v>98</v>
      </c>
      <c r="H24" s="11"/>
      <c r="I24">
        <f t="shared" si="2"/>
        <v>9</v>
      </c>
      <c r="K24" s="1" t="s">
        <v>4</v>
      </c>
      <c r="L24" s="7"/>
      <c r="M24" s="8"/>
      <c r="N24" s="8"/>
      <c r="O24" s="8"/>
      <c r="P24" s="11"/>
    </row>
    <row r="25" spans="1:16" x14ac:dyDescent="0.25">
      <c r="C25" t="s">
        <v>11</v>
      </c>
      <c r="D25">
        <f>SMALL(D22:D24,2)-MIN(D22:D24)</f>
        <v>21</v>
      </c>
      <c r="E25">
        <f t="shared" ref="E25" si="3">SMALL(E22:E24,2)-MIN(E22:E24)</f>
        <v>2</v>
      </c>
      <c r="F25">
        <f t="shared" ref="F25" si="4">SMALL(F22:F24,2)-MIN(F22:F24)</f>
        <v>3</v>
      </c>
      <c r="G25">
        <f t="shared" ref="G25" si="5">SMALL(G22:G24,2)-MIN(G22:G24)</f>
        <v>5</v>
      </c>
    </row>
    <row r="27" spans="1:16" x14ac:dyDescent="0.25">
      <c r="A27" t="s">
        <v>19</v>
      </c>
    </row>
    <row r="28" spans="1:16" x14ac:dyDescent="0.25">
      <c r="B28" t="s">
        <v>17</v>
      </c>
    </row>
    <row r="31" spans="1:16" x14ac:dyDescent="0.25">
      <c r="C31" s="2" t="s">
        <v>10</v>
      </c>
      <c r="D31">
        <v>6</v>
      </c>
      <c r="E31">
        <v>83</v>
      </c>
      <c r="F31">
        <v>39</v>
      </c>
      <c r="G31">
        <v>91</v>
      </c>
      <c r="K31" s="1" t="s">
        <v>16</v>
      </c>
    </row>
    <row r="32" spans="1:16" x14ac:dyDescent="0.25">
      <c r="B32" s="2" t="s">
        <v>9</v>
      </c>
      <c r="D32" s="3" t="s">
        <v>5</v>
      </c>
      <c r="E32" s="3" t="s">
        <v>6</v>
      </c>
      <c r="F32" s="3" t="s">
        <v>7</v>
      </c>
      <c r="G32" s="3" t="s">
        <v>8</v>
      </c>
      <c r="H32" s="3"/>
      <c r="I32" s="2" t="s">
        <v>11</v>
      </c>
      <c r="L32" s="3" t="s">
        <v>5</v>
      </c>
      <c r="M32" s="3" t="s">
        <v>6</v>
      </c>
      <c r="N32" s="3" t="s">
        <v>7</v>
      </c>
      <c r="O32" s="3" t="s">
        <v>8</v>
      </c>
      <c r="P32" s="3" t="s">
        <v>13</v>
      </c>
    </row>
    <row r="33" spans="1:16" x14ac:dyDescent="0.25">
      <c r="B33">
        <v>126</v>
      </c>
      <c r="C33" s="1" t="s">
        <v>2</v>
      </c>
      <c r="D33" s="4">
        <v>132</v>
      </c>
      <c r="E33" s="5">
        <v>999</v>
      </c>
      <c r="F33" s="5">
        <v>97</v>
      </c>
      <c r="G33" s="5">
        <v>103</v>
      </c>
      <c r="H33" s="9"/>
      <c r="I33">
        <f>SMALL(D33:H33,2)-MIN(D33:H33)</f>
        <v>6</v>
      </c>
      <c r="K33" s="1" t="s">
        <v>2</v>
      </c>
      <c r="L33" s="4"/>
      <c r="M33" s="5"/>
      <c r="N33" s="5"/>
      <c r="O33" s="5"/>
      <c r="P33" s="9">
        <v>9</v>
      </c>
    </row>
    <row r="34" spans="1:16" x14ac:dyDescent="0.25">
      <c r="C34" s="1"/>
      <c r="D34" s="6"/>
      <c r="H34" s="10"/>
      <c r="K34" s="1" t="s">
        <v>3</v>
      </c>
      <c r="L34" s="6">
        <v>56</v>
      </c>
      <c r="P34" s="10"/>
    </row>
    <row r="35" spans="1:16" x14ac:dyDescent="0.25">
      <c r="B35">
        <v>93</v>
      </c>
      <c r="C35" s="1" t="s">
        <v>4</v>
      </c>
      <c r="D35" s="7">
        <v>106</v>
      </c>
      <c r="E35" s="8">
        <v>89</v>
      </c>
      <c r="F35" s="8">
        <v>100</v>
      </c>
      <c r="G35" s="8">
        <v>98</v>
      </c>
      <c r="H35" s="11"/>
      <c r="I35">
        <f t="shared" ref="I35" si="6">SMALL(D35:H35,2)-MIN(D35:H35)</f>
        <v>9</v>
      </c>
      <c r="K35" s="1" t="s">
        <v>4</v>
      </c>
      <c r="L35" s="7"/>
      <c r="M35" s="8">
        <v>83</v>
      </c>
      <c r="N35" s="8"/>
      <c r="O35" s="8"/>
      <c r="P35" s="11"/>
    </row>
    <row r="36" spans="1:16" x14ac:dyDescent="0.25">
      <c r="C36" t="s">
        <v>11</v>
      </c>
      <c r="D36">
        <f>SMALL(D33:D35,2)-MIN(D33:D35)</f>
        <v>26</v>
      </c>
      <c r="E36">
        <f t="shared" ref="E36" si="7">SMALL(E33:E35,2)-MIN(E33:E35)</f>
        <v>910</v>
      </c>
      <c r="F36">
        <f t="shared" ref="F36" si="8">SMALL(F33:F35,2)-MIN(F33:F35)</f>
        <v>3</v>
      </c>
      <c r="G36">
        <f t="shared" ref="G36" si="9">SMALL(G33:G35,2)-MIN(G33:G35)</f>
        <v>5</v>
      </c>
    </row>
    <row r="38" spans="1:16" x14ac:dyDescent="0.25">
      <c r="A38" t="s">
        <v>21</v>
      </c>
    </row>
    <row r="39" spans="1:16" x14ac:dyDescent="0.25">
      <c r="B39" t="s">
        <v>22</v>
      </c>
    </row>
    <row r="42" spans="1:16" x14ac:dyDescent="0.25">
      <c r="C42" s="2" t="s">
        <v>10</v>
      </c>
      <c r="D42">
        <v>6</v>
      </c>
      <c r="F42">
        <v>39</v>
      </c>
      <c r="G42">
        <v>91</v>
      </c>
      <c r="K42" s="1" t="s">
        <v>16</v>
      </c>
    </row>
    <row r="43" spans="1:16" x14ac:dyDescent="0.25">
      <c r="B43" s="2" t="s">
        <v>9</v>
      </c>
      <c r="D43" s="3" t="s">
        <v>5</v>
      </c>
      <c r="E43" s="3"/>
      <c r="F43" s="3" t="s">
        <v>7</v>
      </c>
      <c r="G43" s="3" t="s">
        <v>8</v>
      </c>
      <c r="H43" s="3"/>
      <c r="I43" s="2" t="s">
        <v>11</v>
      </c>
      <c r="L43" s="3" t="s">
        <v>5</v>
      </c>
      <c r="M43" s="3" t="s">
        <v>6</v>
      </c>
      <c r="N43" s="3" t="s">
        <v>7</v>
      </c>
      <c r="O43" s="3" t="s">
        <v>8</v>
      </c>
      <c r="P43" s="3" t="s">
        <v>13</v>
      </c>
    </row>
    <row r="44" spans="1:16" x14ac:dyDescent="0.25">
      <c r="B44">
        <v>126</v>
      </c>
      <c r="C44" s="1" t="s">
        <v>2</v>
      </c>
      <c r="D44" s="4">
        <v>132</v>
      </c>
      <c r="E44" s="5"/>
      <c r="F44" s="5">
        <v>97</v>
      </c>
      <c r="G44" s="5">
        <v>103</v>
      </c>
      <c r="H44" s="9"/>
      <c r="I44">
        <f>SMALL(D44:H44,2)-MIN(D44:H44)</f>
        <v>6</v>
      </c>
      <c r="K44" s="1" t="s">
        <v>2</v>
      </c>
      <c r="L44" s="4"/>
      <c r="M44" s="5"/>
      <c r="N44" s="5"/>
      <c r="O44" s="5"/>
      <c r="P44" s="9">
        <v>9</v>
      </c>
    </row>
    <row r="45" spans="1:16" x14ac:dyDescent="0.25">
      <c r="C45" s="1"/>
      <c r="D45" s="6"/>
      <c r="H45" s="10"/>
      <c r="K45" s="1" t="s">
        <v>3</v>
      </c>
      <c r="L45" s="6">
        <v>56</v>
      </c>
      <c r="P45" s="10"/>
    </row>
    <row r="46" spans="1:16" x14ac:dyDescent="0.25">
      <c r="B46">
        <v>10</v>
      </c>
      <c r="C46" s="1" t="s">
        <v>4</v>
      </c>
      <c r="D46" s="7">
        <v>106</v>
      </c>
      <c r="E46" s="8"/>
      <c r="F46" s="8">
        <v>100</v>
      </c>
      <c r="G46" s="8">
        <v>98</v>
      </c>
      <c r="H46" s="11"/>
      <c r="I46">
        <f t="shared" ref="I46" si="10">SMALL(D46:H46,2)-MIN(D46:H46)</f>
        <v>2</v>
      </c>
      <c r="K46" s="1" t="s">
        <v>4</v>
      </c>
      <c r="L46" s="7">
        <v>6</v>
      </c>
      <c r="M46" s="8">
        <v>83</v>
      </c>
      <c r="N46" s="8"/>
      <c r="O46" s="8"/>
      <c r="P46" s="11"/>
    </row>
    <row r="47" spans="1:16" x14ac:dyDescent="0.25">
      <c r="C47" t="s">
        <v>11</v>
      </c>
      <c r="D47">
        <f>SMALL(D44:D46,2)-MIN(D44:D46)</f>
        <v>26</v>
      </c>
      <c r="F47">
        <f t="shared" ref="F47" si="11">SMALL(F44:F46,2)-MIN(F44:F46)</f>
        <v>3</v>
      </c>
      <c r="G47">
        <f t="shared" ref="G47" si="12">SMALL(G44:G46,2)-MIN(G44:G46)</f>
        <v>5</v>
      </c>
    </row>
    <row r="49" spans="1:16" x14ac:dyDescent="0.25">
      <c r="A49" t="s">
        <v>20</v>
      </c>
    </row>
    <row r="50" spans="1:16" x14ac:dyDescent="0.25">
      <c r="B50" t="s">
        <v>23</v>
      </c>
    </row>
    <row r="53" spans="1:16" x14ac:dyDescent="0.25">
      <c r="C53" s="2" t="s">
        <v>10</v>
      </c>
      <c r="F53">
        <v>39</v>
      </c>
      <c r="G53">
        <v>91</v>
      </c>
      <c r="K53" s="1" t="s">
        <v>16</v>
      </c>
    </row>
    <row r="54" spans="1:16" x14ac:dyDescent="0.25">
      <c r="B54" s="2" t="s">
        <v>9</v>
      </c>
      <c r="D54" s="3"/>
      <c r="E54" s="3"/>
      <c r="F54" s="3" t="s">
        <v>7</v>
      </c>
      <c r="G54" s="3" t="s">
        <v>8</v>
      </c>
      <c r="H54" s="3"/>
      <c r="I54" s="2" t="s">
        <v>11</v>
      </c>
      <c r="L54" s="3" t="s">
        <v>5</v>
      </c>
      <c r="M54" s="3" t="s">
        <v>6</v>
      </c>
      <c r="N54" s="3" t="s">
        <v>7</v>
      </c>
      <c r="O54" s="3" t="s">
        <v>8</v>
      </c>
      <c r="P54" s="3" t="s">
        <v>13</v>
      </c>
    </row>
    <row r="55" spans="1:16" x14ac:dyDescent="0.25">
      <c r="B55">
        <v>126</v>
      </c>
      <c r="C55" s="1" t="s">
        <v>2</v>
      </c>
      <c r="D55" s="4"/>
      <c r="E55" s="5"/>
      <c r="F55" s="5">
        <v>97</v>
      </c>
      <c r="G55" s="5">
        <v>103</v>
      </c>
      <c r="H55" s="9"/>
      <c r="I55">
        <f>SMALL(D55:H55,2)-MIN(D55:H55)</f>
        <v>6</v>
      </c>
      <c r="K55" s="1" t="s">
        <v>2</v>
      </c>
      <c r="L55" s="4"/>
      <c r="M55" s="5"/>
      <c r="N55" s="5">
        <v>39</v>
      </c>
      <c r="O55" s="5"/>
      <c r="P55" s="9">
        <v>9</v>
      </c>
    </row>
    <row r="56" spans="1:16" x14ac:dyDescent="0.25">
      <c r="C56" s="1"/>
      <c r="D56" s="6"/>
      <c r="H56" s="10"/>
      <c r="K56" s="1" t="s">
        <v>3</v>
      </c>
      <c r="L56" s="6">
        <v>56</v>
      </c>
      <c r="P56" s="10"/>
    </row>
    <row r="57" spans="1:16" x14ac:dyDescent="0.25">
      <c r="B57">
        <v>4</v>
      </c>
      <c r="C57" s="1" t="s">
        <v>4</v>
      </c>
      <c r="D57" s="7"/>
      <c r="E57" s="8"/>
      <c r="F57" s="8">
        <v>100</v>
      </c>
      <c r="G57" s="8">
        <v>98</v>
      </c>
      <c r="H57" s="11"/>
      <c r="I57">
        <f t="shared" ref="I57" si="13">SMALL(D57:H57,2)-MIN(D57:H57)</f>
        <v>2</v>
      </c>
      <c r="K57" s="1" t="s">
        <v>4</v>
      </c>
      <c r="L57" s="7">
        <v>6</v>
      </c>
      <c r="M57" s="8">
        <v>83</v>
      </c>
      <c r="N57" s="8"/>
      <c r="O57" s="8"/>
      <c r="P57" s="11"/>
    </row>
    <row r="58" spans="1:16" x14ac:dyDescent="0.25">
      <c r="C58" t="s">
        <v>11</v>
      </c>
      <c r="F58">
        <f t="shared" ref="F58" si="14">SMALL(F55:F57,2)-MIN(F55:F57)</f>
        <v>3</v>
      </c>
      <c r="G58">
        <f t="shared" ref="G58" si="15">SMALL(G55:G57,2)-MIN(G55:G57)</f>
        <v>5</v>
      </c>
    </row>
    <row r="61" spans="1:16" x14ac:dyDescent="0.25">
      <c r="A61" t="s">
        <v>24</v>
      </c>
    </row>
    <row r="62" spans="1:16" x14ac:dyDescent="0.25">
      <c r="B62" t="s">
        <v>25</v>
      </c>
    </row>
    <row r="65" spans="1:16" x14ac:dyDescent="0.25">
      <c r="C65" s="2" t="s">
        <v>10</v>
      </c>
      <c r="G65">
        <v>91</v>
      </c>
      <c r="K65" s="1" t="s">
        <v>16</v>
      </c>
    </row>
    <row r="66" spans="1:16" x14ac:dyDescent="0.25">
      <c r="B66" s="2" t="s">
        <v>9</v>
      </c>
      <c r="D66" s="3"/>
      <c r="E66" s="3"/>
      <c r="F66" s="3"/>
      <c r="G66" s="3" t="s">
        <v>8</v>
      </c>
      <c r="H66" s="3"/>
      <c r="I66" s="2" t="s">
        <v>11</v>
      </c>
      <c r="L66" s="3" t="s">
        <v>5</v>
      </c>
      <c r="M66" s="3" t="s">
        <v>6</v>
      </c>
      <c r="N66" s="3" t="s">
        <v>7</v>
      </c>
      <c r="O66" s="3" t="s">
        <v>8</v>
      </c>
      <c r="P66" s="3" t="s">
        <v>13</v>
      </c>
    </row>
    <row r="67" spans="1:16" x14ac:dyDescent="0.25">
      <c r="B67">
        <v>87</v>
      </c>
      <c r="C67" s="1" t="s">
        <v>2</v>
      </c>
      <c r="D67" s="4"/>
      <c r="E67" s="5"/>
      <c r="F67" s="5"/>
      <c r="G67" s="5">
        <v>103</v>
      </c>
      <c r="H67" s="9"/>
      <c r="K67" s="1" t="s">
        <v>2</v>
      </c>
      <c r="L67" s="4"/>
      <c r="M67" s="5"/>
      <c r="N67" s="5">
        <v>39</v>
      </c>
      <c r="O67" s="5"/>
      <c r="P67" s="9">
        <v>9</v>
      </c>
    </row>
    <row r="68" spans="1:16" x14ac:dyDescent="0.25">
      <c r="C68" s="1"/>
      <c r="D68" s="6"/>
      <c r="H68" s="10"/>
      <c r="K68" s="1" t="s">
        <v>3</v>
      </c>
      <c r="L68" s="6">
        <v>56</v>
      </c>
      <c r="P68" s="10"/>
    </row>
    <row r="69" spans="1:16" x14ac:dyDescent="0.25">
      <c r="B69">
        <v>4</v>
      </c>
      <c r="C69" s="1" t="s">
        <v>4</v>
      </c>
      <c r="D69" s="7"/>
      <c r="E69" s="8"/>
      <c r="F69" s="8"/>
      <c r="G69" s="8">
        <v>98</v>
      </c>
      <c r="H69" s="11"/>
      <c r="K69" s="1" t="s">
        <v>4</v>
      </c>
      <c r="L69" s="7">
        <v>6</v>
      </c>
      <c r="M69" s="8">
        <v>83</v>
      </c>
      <c r="N69" s="8"/>
      <c r="O69" s="8"/>
      <c r="P69" s="11"/>
    </row>
    <row r="70" spans="1:16" x14ac:dyDescent="0.25">
      <c r="C70" t="s">
        <v>11</v>
      </c>
    </row>
    <row r="73" spans="1:16" x14ac:dyDescent="0.25">
      <c r="A73" t="s">
        <v>26</v>
      </c>
    </row>
    <row r="75" spans="1:16" x14ac:dyDescent="0.25">
      <c r="K75" s="1" t="s">
        <v>29</v>
      </c>
    </row>
    <row r="76" spans="1:16" x14ac:dyDescent="0.25">
      <c r="A76" t="s">
        <v>30</v>
      </c>
      <c r="L76" s="3" t="s">
        <v>5</v>
      </c>
      <c r="M76" s="3" t="s">
        <v>6</v>
      </c>
      <c r="N76" s="3" t="s">
        <v>7</v>
      </c>
      <c r="O76" s="3" t="s">
        <v>8</v>
      </c>
      <c r="P76" s="3" t="s">
        <v>13</v>
      </c>
    </row>
    <row r="77" spans="1:16" x14ac:dyDescent="0.25">
      <c r="A77" t="s">
        <v>27</v>
      </c>
      <c r="K77" s="1" t="s">
        <v>2</v>
      </c>
      <c r="L77" s="4"/>
      <c r="M77" s="5"/>
      <c r="N77" s="5">
        <v>39</v>
      </c>
      <c r="O77" s="5">
        <v>87</v>
      </c>
      <c r="P77" s="9">
        <v>9</v>
      </c>
    </row>
    <row r="78" spans="1:16" x14ac:dyDescent="0.25">
      <c r="A78" t="s">
        <v>28</v>
      </c>
      <c r="K78" s="1" t="s">
        <v>3</v>
      </c>
      <c r="L78" s="6">
        <v>56</v>
      </c>
      <c r="P78" s="10"/>
    </row>
    <row r="79" spans="1:16" x14ac:dyDescent="0.25">
      <c r="K79" s="1" t="s">
        <v>4</v>
      </c>
      <c r="L79" s="7">
        <v>6</v>
      </c>
      <c r="M79" s="8">
        <v>83</v>
      </c>
      <c r="N79" s="8"/>
      <c r="O79" s="8">
        <v>4</v>
      </c>
      <c r="P7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Lysgaard</dc:creator>
  <cp:lastModifiedBy>Jens Lysgaard</cp:lastModifiedBy>
  <dcterms:created xsi:type="dcterms:W3CDTF">2015-06-05T18:19:34Z</dcterms:created>
  <dcterms:modified xsi:type="dcterms:W3CDTF">2026-02-19T15:38:18Z</dcterms:modified>
</cp:coreProperties>
</file>